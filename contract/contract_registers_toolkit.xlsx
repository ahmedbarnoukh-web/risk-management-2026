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تعليمات" sheetId="1" state="visible" r:id="rId3"/>
    <sheet name="سجل المطالبات و EOT" sheetId="2" state="visible" r:id="rId4"/>
    <sheet name="سجل التقديمات" sheetId="3" state="visible" r:id="rId5"/>
    <sheet name="الضمانات والتأمين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<sst xmlns="http://schemas.openxmlformats.org/spreadsheetml/2006/main" count="85" uniqueCount="77">
  <si>
    <t xml:space="preserve">BA   Academy</t>
  </si>
  <si>
    <t xml:space="preserve">سجلات إدارة العقد الجاهزة</t>
  </si>
  <si>
    <t xml:space="preserve">Contract Registers Toolkit</t>
  </si>
  <si>
    <t xml:space="preserve">من دورة "إدارة العقود والمطالبات الهندسية" — BA Academy</t>
  </si>
  <si>
    <t xml:space="preserve">هذا الملف يحتوي 3 سجلات جاهزة للاستخدام الفعلي:</t>
  </si>
  <si>
    <t xml:space="preserve">1. سجل المطالبات والتمديد الزمني (Claims &amp; EOT Register)</t>
  </si>
  <si>
    <t xml:space="preserve">2. سجل التقديمات الفنية (Submittals Register)</t>
  </si>
  <si>
    <t xml:space="preserve">3. متابعة الضمانات والتأمين (Bonds &amp; Insurance Tracker)</t>
  </si>
  <si>
    <t xml:space="preserve">كيف تستخدم كل سجل؟</t>
  </si>
  <si>
    <t xml:space="preserve">•  كل سجل فيه صف مثال معبأ من مشروعنا التدريبي (برج الرياض الإداري) بخلفية بيضاء عادية — للتوضيح فقط، احذفه قبل الاستخدام الفعلي.</t>
  </si>
  <si>
    <t xml:space="preserve">•  الخلايا الصفراء هي الخلايا المفتوحة للتعبئة — اكتب بياناتك الفعلية فيها مباشرة.</t>
  </si>
  <si>
    <t xml:space="preserve">•  أعمدة الحالة والمهل (زي 'الأيام المتبقية' أو 'الحالة') فيها معادلات تلقائية مربوطة بتاريخ اليوم — متلمسش هذه الأعمدة، هتتحدث لوحدها كل ما تفتح الملف.</t>
  </si>
  <si>
    <t xml:space="preserve">•  غيّر اسم مشروعك ورقم العقد في أعلى كل سجل حسب مشروعك الفعلي.</t>
  </si>
  <si>
    <t xml:space="preserve">⚠ تنبيه: هذه سجلات تنظيمية مقترحة بناءً على أفضل الممارسات الشائعة في إدارة العقود، وليست نموذجًا رسميًا معتمدًا من أي جهة. عدّلها بما يناسب نظام مشروعك ونمط شركتك الفعلي.</t>
  </si>
  <si>
    <t xml:space="preserve">سجل المطالبات والتمديد الزمني</t>
  </si>
  <si>
    <t xml:space="preserve">Claims &amp; EOT Register</t>
  </si>
  <si>
    <t xml:space="preserve">BA Academy — إدارة العقود والمطالبات الهندسية | مشروع تدريبي: برج الرياض الإداري</t>
  </si>
  <si>
    <t xml:space="preserve">رقم المطالبة</t>
  </si>
  <si>
    <t xml:space="preserve">تاريخ الحدث</t>
  </si>
  <si>
    <t xml:space="preserve">تاريخ إرسال الإشعار</t>
  </si>
  <si>
    <t xml:space="preserve">الموعد النهائي للإشعار
(28 يوماً)</t>
  </si>
  <si>
    <t xml:space="preserve">حالة الإشعار</t>
  </si>
  <si>
    <t xml:space="preserve">الشرط المرجعي</t>
  </si>
  <si>
    <t xml:space="preserve">وصف الحدث</t>
  </si>
  <si>
    <t xml:space="preserve">نوع المطالبة
(زمن/تكلفة/كلاهما)</t>
  </si>
  <si>
    <t xml:space="preserve">أيام EOT المطلوبة</t>
  </si>
  <si>
    <t xml:space="preserve">أيام EOT المعتمدة</t>
  </si>
  <si>
    <t xml:space="preserve">القيمة المالية
المطالَب بها (ريال)</t>
  </si>
  <si>
    <t xml:space="preserve">القيمة المالية
المعتمدة (ريال)</t>
  </si>
  <si>
    <t xml:space="preserve">الحالة</t>
  </si>
  <si>
    <t xml:space="preserve">تاريخ قرار المهندس</t>
  </si>
  <si>
    <t xml:space="preserve">ملاحظات</t>
  </si>
  <si>
    <t xml:space="preserve">CLM-01</t>
  </si>
  <si>
    <t xml:space="preserve">الشرط 8.5</t>
  </si>
  <si>
    <t xml:space="preserve">هطول أمطار غزيرة استثنائية 9 أيام متتالية أوقفت أعمال الهيكل الخرساني</t>
  </si>
  <si>
    <t xml:space="preserve">زمن فقط</t>
  </si>
  <si>
    <t xml:space="preserve">معتمدة</t>
  </si>
  <si>
    <t xml:space="preserve">مثال توضيحي من مشروعنا — احذف هذا الصف قبل الاستخدام الفعلي</t>
  </si>
  <si>
    <t xml:space="preserve">سجل التقديمات الفنية</t>
  </si>
  <si>
    <t xml:space="preserve">Submittals Register</t>
  </si>
  <si>
    <t xml:space="preserve">رقم التقديم</t>
  </si>
  <si>
    <t xml:space="preserve">الوصف</t>
  </si>
  <si>
    <t xml:space="preserve">التخصص</t>
  </si>
  <si>
    <t xml:space="preserve">مُقدَّم من</t>
  </si>
  <si>
    <t xml:space="preserve">تاريخ التقديم</t>
  </si>
  <si>
    <t xml:space="preserve">المهلة التعاقدية
(أيام المراجعة)</t>
  </si>
  <si>
    <t xml:space="preserve">الموعد النهائي
للرد</t>
  </si>
  <si>
    <t xml:space="preserve">تاريخ الرد الفعلي</t>
  </si>
  <si>
    <t xml:space="preserve">الأيام المستغرقة</t>
  </si>
  <si>
    <t xml:space="preserve">متأخر؟</t>
  </si>
  <si>
    <t xml:space="preserve">SUB-014</t>
  </si>
  <si>
    <t xml:space="preserve">مخطط تنفيذي معدَّل لأساسات البرج (وفق أمر التغيير VO-07)</t>
  </si>
  <si>
    <t xml:space="preserve">إنشائي</t>
  </si>
  <si>
    <t xml:space="preserve">مؤسسة مقاولات كبرى</t>
  </si>
  <si>
    <t xml:space="preserve">معتمد</t>
  </si>
  <si>
    <t xml:space="preserve">متابعة الضمانات والتأمين</t>
  </si>
  <si>
    <t xml:space="preserve">Bonds &amp; Insurance Tracker</t>
  </si>
  <si>
    <t xml:space="preserve">م</t>
  </si>
  <si>
    <t xml:space="preserve">النوع</t>
  </si>
  <si>
    <t xml:space="preserve">الجهة المُصدرة</t>
  </si>
  <si>
    <t xml:space="preserve">الرقم المرجعي</t>
  </si>
  <si>
    <t xml:space="preserve">القيمة (ريال)</t>
  </si>
  <si>
    <t xml:space="preserve">تاريخ البدء</t>
  </si>
  <si>
    <t xml:space="preserve">تاريخ الانتهاء</t>
  </si>
  <si>
    <t xml:space="preserve">الأيام المتبقية
حتى الانتهاء</t>
  </si>
  <si>
    <t xml:space="preserve">موعد التجديد
المطلوب قبله</t>
  </si>
  <si>
    <t xml:space="preserve">ضمان حسن التنفيذ</t>
  </si>
  <si>
    <t xml:space="preserve">[اسم البنك]</t>
  </si>
  <si>
    <t xml:space="preserve">PB-2026-001</t>
  </si>
  <si>
    <t xml:space="preserve">10% من قيمة العقد — مثال توضيحي، احذف قبل الاستخدام</t>
  </si>
  <si>
    <t xml:space="preserve">ضمان الدفعة المقدمة</t>
  </si>
  <si>
    <t xml:space="preserve">APG-2026-002</t>
  </si>
  <si>
    <t xml:space="preserve">يتناقص تدريجيًا مع الاسترداد — مثال توضيحي</t>
  </si>
  <si>
    <t xml:space="preserve">تأمين المخاطر الشامل (CAR)</t>
  </si>
  <si>
    <t xml:space="preserve">[اسم شركة التأمين]</t>
  </si>
  <si>
    <t xml:space="preserve">CAR-2026-003</t>
  </si>
  <si>
    <t xml:space="preserve">ساري طوال مدة التنفيذ — مثال توضيحي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</si>
</sst>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B1120"/>
      <name val="Arial"/>
      <family val="0"/>
      <charset val="1"/>
    </font>
    <font>
      <b val="true"/>
      <sz val="20"/>
      <color rgb="FF0B1120"/>
      <name val="Arial"/>
      <family val="0"/>
      <charset val="1"/>
    </font>
    <font>
      <i val="true"/>
      <sz val="13"/>
      <color rgb="FF1D4ED8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3"/>
      <color rgb="FF0B1120"/>
      <name val="Arial"/>
      <family val="0"/>
      <charset val="1"/>
    </font>
    <font>
      <sz val="11"/>
      <color rgb="FF0F172A"/>
      <name val="Arial"/>
      <family val="0"/>
      <charset val="1"/>
    </font>
    <font>
      <sz val="10.5"/>
      <color rgb="FF0F172A"/>
      <name val="Arial"/>
      <family val="0"/>
      <charset val="1"/>
    </font>
    <font>
      <b val="true"/>
      <sz val="10.5"/>
      <color rgb="FFB45309"/>
      <name val="Arial"/>
      <family val="0"/>
      <charset val="1"/>
    </font>
    <font>
      <b val="true"/>
      <sz val="16"/>
      <color rgb="FF0B1120"/>
      <name val="Arial"/>
      <family val="0"/>
      <charset val="1"/>
    </font>
    <font>
      <i val="true"/>
      <sz val="11"/>
      <color rgb="FF1D4ED8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BEB"/>
        <bgColor rgb="FFF8FAFC"/>
      </patternFill>
    </fill>
    <fill>
      <patternFill patternType="solid">
        <fgColor rgb="FF0B1120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FFF9C4"/>
        <bgColor rgb="FFFFFBEB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>
        <color rgb="FFB45309"/>
      </left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8FAFC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0B1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2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8"/>
  </cols>
  <sheetData>
    <row r="2" customFormat="false" ht="31.5" hidden="false" customHeight="false" outlineLevel="0" collapsed="false">
      <c r="B2" s="1" t="s">
        <v>0</v>
      </c>
    </row>
    <row r="4" customFormat="false" ht="24.45" hidden="false" customHeight="false" outlineLevel="0" collapsed="false">
      <c r="B4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</row>
    <row r="11" customFormat="false" ht="15" hidden="false" customHeight="false" outlineLevel="0" collapsed="false">
      <c r="B11" s="6" t="s">
        <v>6</v>
      </c>
    </row>
    <row r="12" customFormat="false" ht="15" hidden="false" customHeight="false" outlineLevel="0" collapsed="false">
      <c r="B12" s="6" t="s">
        <v>7</v>
      </c>
    </row>
    <row r="14" customFormat="false" ht="16.15" hidden="false" customHeight="false" outlineLevel="0" collapsed="false">
      <c r="B14" s="5" t="s">
        <v>8</v>
      </c>
    </row>
    <row r="15" customFormat="false" ht="30" hidden="false" customHeight="true" outlineLevel="0" collapsed="false">
      <c r="B15" s="7" t="s">
        <v>9</v>
      </c>
    </row>
    <row r="16" customFormat="false" ht="30" hidden="false" customHeight="true" outlineLevel="0" collapsed="false">
      <c r="B16" s="7" t="s">
        <v>10</v>
      </c>
    </row>
    <row r="17" customFormat="false" ht="30" hidden="false" customHeight="true" outlineLevel="0" collapsed="false">
      <c r="B17" s="7" t="s">
        <v>11</v>
      </c>
    </row>
    <row r="18" customFormat="false" ht="30" hidden="false" customHeight="true" outlineLevel="0" collapsed="false">
      <c r="B18" s="7" t="s">
        <v>12</v>
      </c>
    </row>
    <row r="20" customFormat="false" ht="21.75" hidden="false" customHeight="true" outlineLevel="0" collapsed="false">
      <c r="B20" s="8" t="s">
        <v>13</v>
      </c>
    </row>
    <row r="21" customFormat="false" ht="21.75" hidden="false" customHeight="true" outlineLevel="0" collapsed="false">
      <c r="B21" s="8"/>
    </row>
    <row r="22" customFormat="false" ht="21.75" hidden="false" customHeight="true" outlineLevel="0" collapsed="false">
      <c r="B22" s="8"/>
    </row>
  </sheetData>
  <mergeCells count="1">
    <mergeCell ref="B20:B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4" min="11" style="0" width="14"/>
    <col collapsed="false" customWidth="true" hidden="false" outlineLevel="0" max="15" min="15" style="0" width="22"/>
  </cols>
  <sheetData>
    <row r="1" customFormat="false" ht="27.75" hidden="false" customHeight="true" outlineLevel="0" collapsed="false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19.5" hidden="false" customHeight="true" outlineLevel="0" collapsed="false">
      <c r="A2" s="10" t="s">
        <v>15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15.75" hidden="false" customHeight="true" outlineLevel="0" collapsed="false">
      <c r="A3" s="11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customFormat="false" ht="33.75" hidden="false" customHeight="true" outlineLevel="0" collapsed="false">
      <c r="A5" s="12" t="s">
        <v>17</v>
      </c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2" t="s">
        <v>25</v>
      </c>
      <c r="J5" s="12" t="s">
        <v>26</v>
      </c>
      <c r="K5" s="12" t="s">
        <v>27</v>
      </c>
      <c r="L5" s="12" t="s">
        <v>28</v>
      </c>
      <c r="M5" s="12" t="s">
        <v>29</v>
      </c>
      <c r="N5" s="12" t="s">
        <v>30</v>
      </c>
      <c r="O5" s="12" t="s">
        <v>31</v>
      </c>
    </row>
    <row r="6" customFormat="false" ht="37.3" hidden="false" customHeight="false" outlineLevel="0" collapsed="false">
      <c r="A6" s="13" t="s">
        <v>32</v>
      </c>
      <c r="B6" s="14" t="n">
        <v>46124</v>
      </c>
      <c r="C6" s="14" t="n">
        <v>46130</v>
      </c>
      <c r="D6" s="14" t="n">
        <f aca="false">B6+28</f>
        <v>46152</v>
      </c>
      <c r="E6" s="13" t="str">
        <f aca="false">IF(C6="","بلا إشعار بعد",IF(C6&lt;=D6,"ضمن المهلة","متأخر — خطر سقوط الحق"))</f>
        <v>ضمن المهلة</v>
      </c>
      <c r="F6" s="13" t="s">
        <v>33</v>
      </c>
      <c r="G6" s="13" t="s">
        <v>34</v>
      </c>
      <c r="H6" s="13" t="s">
        <v>35</v>
      </c>
      <c r="I6" s="13" t="n">
        <v>9</v>
      </c>
      <c r="J6" s="13" t="n">
        <v>7</v>
      </c>
      <c r="K6" s="15" t="n">
        <v>0</v>
      </c>
      <c r="L6" s="15" t="n">
        <v>0</v>
      </c>
      <c r="M6" s="13" t="s">
        <v>36</v>
      </c>
      <c r="N6" s="14" t="n">
        <v>46144</v>
      </c>
      <c r="O6" s="13" t="s">
        <v>37</v>
      </c>
    </row>
    <row r="7" customFormat="false" ht="15" hidden="false" customHeight="false" outlineLevel="0" collapsed="false">
      <c r="A7" s="16"/>
      <c r="B7" s="17"/>
      <c r="C7" s="17"/>
      <c r="D7" s="14" t="str">
        <f aca="false">IF(B7="","",B7+28)</f>
        <v/>
      </c>
      <c r="E7" s="13" t="str">
        <f aca="false">IF(C7="","",IF(C7&lt;=D7,"ضمن المهلة","متأخر — خطر سقوط الحق"))</f>
        <v/>
      </c>
      <c r="F7" s="16"/>
      <c r="G7" s="16"/>
      <c r="H7" s="16"/>
      <c r="I7" s="16"/>
      <c r="J7" s="16"/>
      <c r="K7" s="18"/>
      <c r="L7" s="18"/>
      <c r="M7" s="16"/>
      <c r="N7" s="17"/>
      <c r="O7" s="16"/>
    </row>
    <row r="8" customFormat="false" ht="15" hidden="false" customHeight="false" outlineLevel="0" collapsed="false">
      <c r="A8" s="16"/>
      <c r="B8" s="17"/>
      <c r="C8" s="17"/>
      <c r="D8" s="19" t="str">
        <f aca="false">IF(B8="","",B8+28)</f>
        <v/>
      </c>
      <c r="E8" s="20" t="str">
        <f aca="false">IF(C8="","",IF(C8&lt;=D8,"ضمن المهلة","متأخر — خطر سقوط الحق"))</f>
        <v/>
      </c>
      <c r="F8" s="16"/>
      <c r="G8" s="16"/>
      <c r="H8" s="16"/>
      <c r="I8" s="16"/>
      <c r="J8" s="16"/>
      <c r="K8" s="18"/>
      <c r="L8" s="18"/>
      <c r="M8" s="16"/>
      <c r="N8" s="17"/>
      <c r="O8" s="16"/>
    </row>
    <row r="9" customFormat="false" ht="15" hidden="false" customHeight="false" outlineLevel="0" collapsed="false">
      <c r="A9" s="16"/>
      <c r="B9" s="17"/>
      <c r="C9" s="17"/>
      <c r="D9" s="14" t="str">
        <f aca="false">IF(B9="","",B9+28)</f>
        <v/>
      </c>
      <c r="E9" s="13" t="str">
        <f aca="false">IF(C9="","",IF(C9&lt;=D9,"ضمن المهلة","متأخر — خطر سقوط الحق"))</f>
        <v/>
      </c>
      <c r="F9" s="16"/>
      <c r="G9" s="16"/>
      <c r="H9" s="16"/>
      <c r="I9" s="16"/>
      <c r="J9" s="16"/>
      <c r="K9" s="18"/>
      <c r="L9" s="18"/>
      <c r="M9" s="16"/>
      <c r="N9" s="17"/>
      <c r="O9" s="16"/>
    </row>
    <row r="10" customFormat="false" ht="15" hidden="false" customHeight="false" outlineLevel="0" collapsed="false">
      <c r="A10" s="16"/>
      <c r="B10" s="17"/>
      <c r="C10" s="17"/>
      <c r="D10" s="19" t="str">
        <f aca="false">IF(B10="","",B10+28)</f>
        <v/>
      </c>
      <c r="E10" s="20" t="str">
        <f aca="false">IF(C10="","",IF(C10&lt;=D10,"ضمن المهلة","متأخر — خطر سقوط الحق"))</f>
        <v/>
      </c>
      <c r="F10" s="16"/>
      <c r="G10" s="16"/>
      <c r="H10" s="16"/>
      <c r="I10" s="16"/>
      <c r="J10" s="16"/>
      <c r="K10" s="18"/>
      <c r="L10" s="18"/>
      <c r="M10" s="16"/>
      <c r="N10" s="17"/>
      <c r="O10" s="16"/>
    </row>
    <row r="11" customFormat="false" ht="15" hidden="false" customHeight="false" outlineLevel="0" collapsed="false">
      <c r="A11" s="16"/>
      <c r="B11" s="17"/>
      <c r="C11" s="17"/>
      <c r="D11" s="14" t="str">
        <f aca="false">IF(B11="","",B11+28)</f>
        <v/>
      </c>
      <c r="E11" s="13" t="str">
        <f aca="false">IF(C11="","",IF(C11&lt;=D11,"ضمن المهلة","متأخر — خطر سقوط الحق"))</f>
        <v/>
      </c>
      <c r="F11" s="16"/>
      <c r="G11" s="16"/>
      <c r="H11" s="16"/>
      <c r="I11" s="16"/>
      <c r="J11" s="16"/>
      <c r="K11" s="18"/>
      <c r="L11" s="18"/>
      <c r="M11" s="16"/>
      <c r="N11" s="17"/>
      <c r="O11" s="16"/>
    </row>
    <row r="12" customFormat="false" ht="15" hidden="false" customHeight="false" outlineLevel="0" collapsed="false">
      <c r="A12" s="16"/>
      <c r="B12" s="17"/>
      <c r="C12" s="17"/>
      <c r="D12" s="19" t="str">
        <f aca="false">IF(B12="","",B12+28)</f>
        <v/>
      </c>
      <c r="E12" s="20" t="str">
        <f aca="false">IF(C12="","",IF(C12&lt;=D12,"ضمن المهلة","متأخر — خطر سقوط الحق"))</f>
        <v/>
      </c>
      <c r="F12" s="16"/>
      <c r="G12" s="16"/>
      <c r="H12" s="16"/>
      <c r="I12" s="16"/>
      <c r="J12" s="16"/>
      <c r="K12" s="18"/>
      <c r="L12" s="18"/>
      <c r="M12" s="16"/>
      <c r="N12" s="17"/>
      <c r="O12" s="16"/>
    </row>
    <row r="13" customFormat="false" ht="15" hidden="false" customHeight="false" outlineLevel="0" collapsed="false">
      <c r="A13" s="16"/>
      <c r="B13" s="17"/>
      <c r="C13" s="17"/>
      <c r="D13" s="14" t="str">
        <f aca="false">IF(B13="","",B13+28)</f>
        <v/>
      </c>
      <c r="E13" s="13" t="str">
        <f aca="false">IF(C13="","",IF(C13&lt;=D13,"ضمن المهلة","متأخر — خطر سقوط الحق"))</f>
        <v/>
      </c>
      <c r="F13" s="16"/>
      <c r="G13" s="16"/>
      <c r="H13" s="16"/>
      <c r="I13" s="16"/>
      <c r="J13" s="16"/>
      <c r="K13" s="18"/>
      <c r="L13" s="18"/>
      <c r="M13" s="16"/>
      <c r="N13" s="17"/>
      <c r="O13" s="16"/>
    </row>
    <row r="14" customFormat="false" ht="15" hidden="false" customHeight="false" outlineLevel="0" collapsed="false">
      <c r="A14" s="16"/>
      <c r="B14" s="17"/>
      <c r="C14" s="17"/>
      <c r="D14" s="19" t="str">
        <f aca="false">IF(B14="","",B14+28)</f>
        <v/>
      </c>
      <c r="E14" s="20" t="str">
        <f aca="false">IF(C14="","",IF(C14&lt;=D14,"ضمن المهلة","متأخر — خطر سقوط الحق"))</f>
        <v/>
      </c>
      <c r="F14" s="16"/>
      <c r="G14" s="16"/>
      <c r="H14" s="16"/>
      <c r="I14" s="16"/>
      <c r="J14" s="16"/>
      <c r="K14" s="18"/>
      <c r="L14" s="18"/>
      <c r="M14" s="16"/>
      <c r="N14" s="17"/>
      <c r="O14" s="16"/>
    </row>
    <row r="15" customFormat="false" ht="15" hidden="false" customHeight="false" outlineLevel="0" collapsed="false">
      <c r="A15" s="16"/>
      <c r="B15" s="17"/>
      <c r="C15" s="17"/>
      <c r="D15" s="14" t="str">
        <f aca="false">IF(B15="","",B15+28)</f>
        <v/>
      </c>
      <c r="E15" s="13" t="str">
        <f aca="false">IF(C15="","",IF(C15&lt;=D15,"ضمن المهلة","متأخر — خطر سقوط الحق"))</f>
        <v/>
      </c>
      <c r="F15" s="16"/>
      <c r="G15" s="16"/>
      <c r="H15" s="16"/>
      <c r="I15" s="16"/>
      <c r="J15" s="16"/>
      <c r="K15" s="18"/>
      <c r="L15" s="18"/>
      <c r="M15" s="16"/>
      <c r="N15" s="17"/>
      <c r="O15" s="16"/>
    </row>
    <row r="16" customFormat="false" ht="15" hidden="false" customHeight="false" outlineLevel="0" collapsed="false">
      <c r="A16" s="16"/>
      <c r="B16" s="17"/>
      <c r="C16" s="17"/>
      <c r="D16" s="19" t="str">
        <f aca="false">IF(B16="","",B16+28)</f>
        <v/>
      </c>
      <c r="E16" s="20" t="str">
        <f aca="false">IF(C16="","",IF(C16&lt;=D16,"ضمن المهلة","متأخر — خطر سقوط الحق"))</f>
        <v/>
      </c>
      <c r="F16" s="16"/>
      <c r="G16" s="16"/>
      <c r="H16" s="16"/>
      <c r="I16" s="16"/>
      <c r="J16" s="16"/>
      <c r="K16" s="18"/>
      <c r="L16" s="18"/>
      <c r="M16" s="16"/>
      <c r="N16" s="17"/>
      <c r="O16" s="16"/>
    </row>
    <row r="17" customFormat="false" ht="15" hidden="false" customHeight="false" outlineLevel="0" collapsed="false">
      <c r="A17" s="16"/>
      <c r="B17" s="17"/>
      <c r="C17" s="17"/>
      <c r="D17" s="14" t="str">
        <f aca="false">IF(B17="","",B17+28)</f>
        <v/>
      </c>
      <c r="E17" s="13" t="str">
        <f aca="false">IF(C17="","",IF(C17&lt;=D17,"ضمن المهلة","متأخر — خطر سقوط الحق"))</f>
        <v/>
      </c>
      <c r="F17" s="16"/>
      <c r="G17" s="16"/>
      <c r="H17" s="16"/>
      <c r="I17" s="16"/>
      <c r="J17" s="16"/>
      <c r="K17" s="18"/>
      <c r="L17" s="18"/>
      <c r="M17" s="16"/>
      <c r="N17" s="17"/>
      <c r="O17" s="16"/>
    </row>
    <row r="18" customFormat="false" ht="15" hidden="false" customHeight="false" outlineLevel="0" collapsed="false">
      <c r="A18" s="16"/>
      <c r="B18" s="17"/>
      <c r="C18" s="17"/>
      <c r="D18" s="19" t="str">
        <f aca="false">IF(B18="","",B18+28)</f>
        <v/>
      </c>
      <c r="E18" s="20" t="str">
        <f aca="false">IF(C18="","",IF(C18&lt;=D18,"ضمن المهلة","متأخر — خطر سقوط الحق"))</f>
        <v/>
      </c>
      <c r="F18" s="16"/>
      <c r="G18" s="16"/>
      <c r="H18" s="16"/>
      <c r="I18" s="16"/>
      <c r="J18" s="16"/>
      <c r="K18" s="18"/>
      <c r="L18" s="18"/>
      <c r="M18" s="16"/>
      <c r="N18" s="17"/>
      <c r="O18" s="16"/>
    </row>
    <row r="19" customFormat="false" ht="15" hidden="false" customHeight="false" outlineLevel="0" collapsed="false">
      <c r="A19" s="16"/>
      <c r="B19" s="17"/>
      <c r="C19" s="17"/>
      <c r="D19" s="14" t="str">
        <f aca="false">IF(B19="","",B19+28)</f>
        <v/>
      </c>
      <c r="E19" s="13" t="str">
        <f aca="false">IF(C19="","",IF(C19&lt;=D19,"ضمن المهلة","متأخر — خطر سقوط الحق"))</f>
        <v/>
      </c>
      <c r="F19" s="16"/>
      <c r="G19" s="16"/>
      <c r="H19" s="16"/>
      <c r="I19" s="16"/>
      <c r="J19" s="16"/>
      <c r="K19" s="18"/>
      <c r="L19" s="18"/>
      <c r="M19" s="16"/>
      <c r="N19" s="17"/>
      <c r="O19" s="16"/>
    </row>
    <row r="20" customFormat="false" ht="15" hidden="false" customHeight="false" outlineLevel="0" collapsed="false">
      <c r="A20" s="16"/>
      <c r="B20" s="17"/>
      <c r="C20" s="17"/>
      <c r="D20" s="19" t="str">
        <f aca="false">IF(B20="","",B20+28)</f>
        <v/>
      </c>
      <c r="E20" s="20" t="str">
        <f aca="false">IF(C20="","",IF(C20&lt;=D20,"ضمن المهلة","متأخر — خطر سقوط الحق"))</f>
        <v/>
      </c>
      <c r="F20" s="16"/>
      <c r="G20" s="16"/>
      <c r="H20" s="16"/>
      <c r="I20" s="16"/>
      <c r="J20" s="16"/>
      <c r="K20" s="18"/>
      <c r="L20" s="18"/>
      <c r="M20" s="16"/>
      <c r="N20" s="17"/>
      <c r="O20" s="16"/>
    </row>
    <row r="21" customFormat="false" ht="15" hidden="false" customHeight="false" outlineLevel="0" collapsed="false">
      <c r="A21" s="16"/>
      <c r="B21" s="17"/>
      <c r="C21" s="17"/>
      <c r="D21" s="14" t="str">
        <f aca="false">IF(B21="","",B21+28)</f>
        <v/>
      </c>
      <c r="E21" s="13" t="str">
        <f aca="false">IF(C21="","",IF(C21&lt;=D21,"ضمن المهلة","متأخر — خطر سقوط الحق"))</f>
        <v/>
      </c>
      <c r="F21" s="16"/>
      <c r="G21" s="16"/>
      <c r="H21" s="16"/>
      <c r="I21" s="16"/>
      <c r="J21" s="16"/>
      <c r="K21" s="18"/>
      <c r="L21" s="18"/>
      <c r="M21" s="16"/>
      <c r="N21" s="17"/>
      <c r="O21" s="16"/>
    </row>
    <row r="22" customFormat="false" ht="15" hidden="false" customHeight="false" outlineLevel="0" collapsed="false">
      <c r="A22" s="16"/>
      <c r="B22" s="17"/>
      <c r="C22" s="17"/>
      <c r="D22" s="19" t="str">
        <f aca="false">IF(B22="","",B22+28)</f>
        <v/>
      </c>
      <c r="E22" s="20" t="str">
        <f aca="false">IF(C22="","",IF(C22&lt;=D22,"ضمن المهلة","متأخر — خطر سقوط الحق"))</f>
        <v/>
      </c>
      <c r="F22" s="16"/>
      <c r="G22" s="16"/>
      <c r="H22" s="16"/>
      <c r="I22" s="16"/>
      <c r="J22" s="16"/>
      <c r="K22" s="18"/>
      <c r="L22" s="18"/>
      <c r="M22" s="16"/>
      <c r="N22" s="17"/>
      <c r="O22" s="16"/>
    </row>
    <row r="23" customFormat="false" ht="15" hidden="false" customHeight="false" outlineLevel="0" collapsed="false">
      <c r="A23" s="16"/>
      <c r="B23" s="17"/>
      <c r="C23" s="17"/>
      <c r="D23" s="14" t="str">
        <f aca="false">IF(B23="","",B23+28)</f>
        <v/>
      </c>
      <c r="E23" s="13" t="str">
        <f aca="false">IF(C23="","",IF(C23&lt;=D23,"ضمن المهلة","متأخر — خطر سقوط الحق"))</f>
        <v/>
      </c>
      <c r="F23" s="16"/>
      <c r="G23" s="16"/>
      <c r="H23" s="16"/>
      <c r="I23" s="16"/>
      <c r="J23" s="16"/>
      <c r="K23" s="18"/>
      <c r="L23" s="18"/>
      <c r="M23" s="16"/>
      <c r="N23" s="17"/>
      <c r="O23" s="16"/>
    </row>
    <row r="24" customFormat="false" ht="15" hidden="false" customHeight="false" outlineLevel="0" collapsed="false">
      <c r="A24" s="16"/>
      <c r="B24" s="17"/>
      <c r="C24" s="17"/>
      <c r="D24" s="19" t="str">
        <f aca="false">IF(B24="","",B24+28)</f>
        <v/>
      </c>
      <c r="E24" s="20" t="str">
        <f aca="false">IF(C24="","",IF(C24&lt;=D24,"ضمن المهلة","متأخر — خطر سقوط الحق"))</f>
        <v/>
      </c>
      <c r="F24" s="16"/>
      <c r="G24" s="16"/>
      <c r="H24" s="16"/>
      <c r="I24" s="16"/>
      <c r="J24" s="16"/>
      <c r="K24" s="18"/>
      <c r="L24" s="18"/>
      <c r="M24" s="16"/>
      <c r="N24" s="17"/>
      <c r="O24" s="16"/>
    </row>
    <row r="25" customFormat="false" ht="15" hidden="false" customHeight="false" outlineLevel="0" collapsed="false">
      <c r="A25" s="16"/>
      <c r="B25" s="17"/>
      <c r="C25" s="17"/>
      <c r="D25" s="14" t="str">
        <f aca="false">IF(B25="","",B25+28)</f>
        <v/>
      </c>
      <c r="E25" s="13" t="str">
        <f aca="false">IF(C25="","",IF(C25&lt;=D25,"ضمن المهلة","متأخر — خطر سقوط الحق"))</f>
        <v/>
      </c>
      <c r="F25" s="16"/>
      <c r="G25" s="16"/>
      <c r="H25" s="16"/>
      <c r="I25" s="16"/>
      <c r="J25" s="16"/>
      <c r="K25" s="18"/>
      <c r="L25" s="18"/>
      <c r="M25" s="16"/>
      <c r="N25" s="17"/>
      <c r="O25" s="16"/>
    </row>
    <row r="26" customFormat="false" ht="15" hidden="false" customHeight="false" outlineLevel="0" collapsed="false">
      <c r="A26" s="16"/>
      <c r="B26" s="17"/>
      <c r="C26" s="17"/>
      <c r="D26" s="19" t="str">
        <f aca="false">IF(B26="","",B26+28)</f>
        <v/>
      </c>
      <c r="E26" s="20" t="str">
        <f aca="false">IF(C26="","",IF(C26&lt;=D26,"ضمن المهلة","متأخر — خطر سقوط الحق"))</f>
        <v/>
      </c>
      <c r="F26" s="16"/>
      <c r="G26" s="16"/>
      <c r="H26" s="16"/>
      <c r="I26" s="16"/>
      <c r="J26" s="16"/>
      <c r="K26" s="18"/>
      <c r="L26" s="18"/>
      <c r="M26" s="16"/>
      <c r="N26" s="17"/>
      <c r="O26" s="16"/>
    </row>
  </sheetData>
  <mergeCells count="3">
    <mergeCell ref="A1:O1"/>
    <mergeCell ref="A2:O2"/>
    <mergeCell ref="A3:O3"/>
  </mergeCells>
  <dataValidations count="2">
    <dataValidation allowBlank="true" errorStyle="stop" operator="between" showDropDown="false" showErrorMessage="false" showInputMessage="false" sqref="M6:M27" type="list">
      <formula1>"قيد الإعداد,قيد المراجعة,معتمدة,مرفوضة,مُسوّاة"</formula1>
      <formula2>0</formula2>
    </dataValidation>
    <dataValidation allowBlank="true" errorStyle="stop" operator="between" showDropDown="false" showErrorMessage="false" showInputMessage="false" sqref="H6:H27" type="list">
      <formula1>"زمن فقط,زمن وتكلفة,تكلفة فقط"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22"/>
  </cols>
  <sheetData>
    <row r="1" customFormat="false" ht="27.75" hidden="false" customHeight="true" outlineLevel="0" collapsed="false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9.5" hidden="false" customHeight="true" outlineLevel="0" collapsed="false">
      <c r="A2" s="10" t="s">
        <v>39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5.75" hidden="false" customHeight="true" outlineLevel="0" collapsed="false">
      <c r="A3" s="11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customFormat="false" ht="33.75" hidden="false" customHeight="true" outlineLevel="0" collapsed="false">
      <c r="A5" s="12" t="s">
        <v>40</v>
      </c>
      <c r="B5" s="12" t="s">
        <v>41</v>
      </c>
      <c r="C5" s="12" t="s">
        <v>42</v>
      </c>
      <c r="D5" s="12" t="s">
        <v>43</v>
      </c>
      <c r="E5" s="12" t="s">
        <v>44</v>
      </c>
      <c r="F5" s="12" t="s">
        <v>45</v>
      </c>
      <c r="G5" s="12" t="s">
        <v>46</v>
      </c>
      <c r="H5" s="12" t="s">
        <v>47</v>
      </c>
      <c r="I5" s="12" t="s">
        <v>48</v>
      </c>
      <c r="J5" s="12" t="s">
        <v>29</v>
      </c>
      <c r="K5" s="12" t="s">
        <v>49</v>
      </c>
      <c r="L5" s="12" t="s">
        <v>31</v>
      </c>
    </row>
    <row r="6" customFormat="false" ht="37.3" hidden="false" customHeight="false" outlineLevel="0" collapsed="false">
      <c r="A6" s="13" t="s">
        <v>50</v>
      </c>
      <c r="B6" s="13" t="s">
        <v>51</v>
      </c>
      <c r="C6" s="13" t="s">
        <v>52</v>
      </c>
      <c r="D6" s="13" t="s">
        <v>53</v>
      </c>
      <c r="E6" s="14" t="n">
        <v>46132</v>
      </c>
      <c r="F6" s="13" t="n">
        <v>14</v>
      </c>
      <c r="G6" s="14" t="n">
        <f aca="false">E6+F6</f>
        <v>46146</v>
      </c>
      <c r="H6" s="14" t="n">
        <v>46142</v>
      </c>
      <c r="I6" s="13" t="n">
        <f aca="false">IF(H6="","",H6-E6)</f>
        <v>10</v>
      </c>
      <c r="J6" s="13" t="s">
        <v>54</v>
      </c>
      <c r="K6" s="13" t="str">
        <f aca="true">IF(H6="",IF(TODAY()&gt;G6,"نعم — تجاوز المهلة","لا"),IF(H6&gt;G6,"نعم","لا"))</f>
        <v>لا</v>
      </c>
      <c r="L6" s="13" t="s">
        <v>37</v>
      </c>
    </row>
    <row r="7" customFormat="false" ht="15" hidden="false" customHeight="false" outlineLevel="0" collapsed="false">
      <c r="A7" s="16"/>
      <c r="B7" s="16"/>
      <c r="C7" s="16"/>
      <c r="D7" s="16"/>
      <c r="E7" s="17"/>
      <c r="F7" s="16"/>
      <c r="G7" s="14" t="str">
        <f aca="false">IF(E7="","",E7+F7)</f>
        <v/>
      </c>
      <c r="H7" s="17"/>
      <c r="I7" s="13" t="str">
        <f aca="false">IF(H7="","",H7-E7)</f>
        <v/>
      </c>
      <c r="J7" s="16"/>
      <c r="K7" s="13" t="str">
        <f aca="true">IF(E7="","",IF(H7="",IF(TODAY()&gt;G7,"نعم — تجاوز المهلة","لا"),IF(H7&gt;G7,"نعم","لا")))</f>
        <v/>
      </c>
      <c r="L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6"/>
      <c r="G8" s="19" t="str">
        <f aca="false">IF(E8="","",E8+F8)</f>
        <v/>
      </c>
      <c r="H8" s="17"/>
      <c r="I8" s="20" t="str">
        <f aca="false">IF(H8="","",H8-E8)</f>
        <v/>
      </c>
      <c r="J8" s="16"/>
      <c r="K8" s="20" t="str">
        <f aca="true">IF(E8="","",IF(H8="",IF(TODAY()&gt;G8,"نعم — تجاوز المهلة","لا"),IF(H8&gt;G8,"نعم","لا")))</f>
        <v/>
      </c>
      <c r="L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6"/>
      <c r="G9" s="14" t="str">
        <f aca="false">IF(E9="","",E9+F9)</f>
        <v/>
      </c>
      <c r="H9" s="17"/>
      <c r="I9" s="13" t="str">
        <f aca="false">IF(H9="","",H9-E9)</f>
        <v/>
      </c>
      <c r="J9" s="16"/>
      <c r="K9" s="13" t="str">
        <f aca="true">IF(E9="","",IF(H9="",IF(TODAY()&gt;G9,"نعم — تجاوز المهلة","لا"),IF(H9&gt;G9,"نعم","لا")))</f>
        <v/>
      </c>
      <c r="L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6"/>
      <c r="G10" s="19" t="str">
        <f aca="false">IF(E10="","",E10+F10)</f>
        <v/>
      </c>
      <c r="H10" s="17"/>
      <c r="I10" s="20" t="str">
        <f aca="false">IF(H10="","",H10-E10)</f>
        <v/>
      </c>
      <c r="J10" s="16"/>
      <c r="K10" s="20" t="str">
        <f aca="true">IF(E10="","",IF(H10="",IF(TODAY()&gt;G10,"نعم — تجاوز المهلة","لا"),IF(H10&gt;G10,"نعم","لا")))</f>
        <v/>
      </c>
      <c r="L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6"/>
      <c r="G11" s="14" t="str">
        <f aca="false">IF(E11="","",E11+F11)</f>
        <v/>
      </c>
      <c r="H11" s="17"/>
      <c r="I11" s="13" t="str">
        <f aca="false">IF(H11="","",H11-E11)</f>
        <v/>
      </c>
      <c r="J11" s="16"/>
      <c r="K11" s="13" t="str">
        <f aca="true">IF(E11="","",IF(H11="",IF(TODAY()&gt;G11,"نعم — تجاوز المهلة","لا"),IF(H11&gt;G11,"نعم","لا")))</f>
        <v/>
      </c>
      <c r="L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6"/>
      <c r="G12" s="19" t="str">
        <f aca="false">IF(E12="","",E12+F12)</f>
        <v/>
      </c>
      <c r="H12" s="17"/>
      <c r="I12" s="20" t="str">
        <f aca="false">IF(H12="","",H12-E12)</f>
        <v/>
      </c>
      <c r="J12" s="16"/>
      <c r="K12" s="20" t="str">
        <f aca="true">IF(E12="","",IF(H12="",IF(TODAY()&gt;G12,"نعم — تجاوز المهلة","لا"),IF(H12&gt;G12,"نعم","لا")))</f>
        <v/>
      </c>
      <c r="L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6"/>
      <c r="G13" s="14" t="str">
        <f aca="false">IF(E13="","",E13+F13)</f>
        <v/>
      </c>
      <c r="H13" s="17"/>
      <c r="I13" s="13" t="str">
        <f aca="false">IF(H13="","",H13-E13)</f>
        <v/>
      </c>
      <c r="J13" s="16"/>
      <c r="K13" s="13" t="str">
        <f aca="true">IF(E13="","",IF(H13="",IF(TODAY()&gt;G13,"نعم — تجاوز المهلة","لا"),IF(H13&gt;G13,"نعم","لا")))</f>
        <v/>
      </c>
      <c r="L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6"/>
      <c r="G14" s="19" t="str">
        <f aca="false">IF(E14="","",E14+F14)</f>
        <v/>
      </c>
      <c r="H14" s="17"/>
      <c r="I14" s="20" t="str">
        <f aca="false">IF(H14="","",H14-E14)</f>
        <v/>
      </c>
      <c r="J14" s="16"/>
      <c r="K14" s="20" t="str">
        <f aca="true">IF(E14="","",IF(H14="",IF(TODAY()&gt;G14,"نعم — تجاوز المهلة","لا"),IF(H14&gt;G14,"نعم","لا")))</f>
        <v/>
      </c>
      <c r="L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6"/>
      <c r="G15" s="14" t="str">
        <f aca="false">IF(E15="","",E15+F15)</f>
        <v/>
      </c>
      <c r="H15" s="17"/>
      <c r="I15" s="13" t="str">
        <f aca="false">IF(H15="","",H15-E15)</f>
        <v/>
      </c>
      <c r="J15" s="16"/>
      <c r="K15" s="13" t="str">
        <f aca="true">IF(E15="","",IF(H15="",IF(TODAY()&gt;G15,"نعم — تجاوز المهلة","لا"),IF(H15&gt;G15,"نعم","لا")))</f>
        <v/>
      </c>
      <c r="L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6"/>
      <c r="G16" s="19" t="str">
        <f aca="false">IF(E16="","",E16+F16)</f>
        <v/>
      </c>
      <c r="H16" s="17"/>
      <c r="I16" s="20" t="str">
        <f aca="false">IF(H16="","",H16-E16)</f>
        <v/>
      </c>
      <c r="J16" s="16"/>
      <c r="K16" s="20" t="str">
        <f aca="true">IF(E16="","",IF(H16="",IF(TODAY()&gt;G16,"نعم — تجاوز المهلة","لا"),IF(H16&gt;G16,"نعم","لا")))</f>
        <v/>
      </c>
      <c r="L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6"/>
      <c r="G17" s="14" t="str">
        <f aca="false">IF(E17="","",E17+F17)</f>
        <v/>
      </c>
      <c r="H17" s="17"/>
      <c r="I17" s="13" t="str">
        <f aca="false">IF(H17="","",H17-E17)</f>
        <v/>
      </c>
      <c r="J17" s="16"/>
      <c r="K17" s="13" t="str">
        <f aca="true">IF(E17="","",IF(H17="",IF(TODAY()&gt;G17,"نعم — تجاوز المهلة","لا"),IF(H17&gt;G17,"نعم","لا")))</f>
        <v/>
      </c>
      <c r="L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6"/>
      <c r="G18" s="19" t="str">
        <f aca="false">IF(E18="","",E18+F18)</f>
        <v/>
      </c>
      <c r="H18" s="17"/>
      <c r="I18" s="20" t="str">
        <f aca="false">IF(H18="","",H18-E18)</f>
        <v/>
      </c>
      <c r="J18" s="16"/>
      <c r="K18" s="20" t="str">
        <f aca="true">IF(E18="","",IF(H18="",IF(TODAY()&gt;G18,"نعم — تجاوز المهلة","لا"),IF(H18&gt;G18,"نعم","لا")))</f>
        <v/>
      </c>
      <c r="L18" s="16"/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6"/>
      <c r="G19" s="14" t="str">
        <f aca="false">IF(E19="","",E19+F19)</f>
        <v/>
      </c>
      <c r="H19" s="17"/>
      <c r="I19" s="13" t="str">
        <f aca="false">IF(H19="","",H19-E19)</f>
        <v/>
      </c>
      <c r="J19" s="16"/>
      <c r="K19" s="13" t="str">
        <f aca="true">IF(E19="","",IF(H19="",IF(TODAY()&gt;G19,"نعم — تجاوز المهلة","لا"),IF(H19&gt;G19,"نعم","لا")))</f>
        <v/>
      </c>
      <c r="L19" s="16"/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6"/>
      <c r="G20" s="19" t="str">
        <f aca="false">IF(E20="","",E20+F20)</f>
        <v/>
      </c>
      <c r="H20" s="17"/>
      <c r="I20" s="20" t="str">
        <f aca="false">IF(H20="","",H20-E20)</f>
        <v/>
      </c>
      <c r="J20" s="16"/>
      <c r="K20" s="20" t="str">
        <f aca="true">IF(E20="","",IF(H20="",IF(TODAY()&gt;G20,"نعم — تجاوز المهلة","لا"),IF(H20&gt;G20,"نعم","لا")))</f>
        <v/>
      </c>
      <c r="L20" s="16"/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6"/>
      <c r="G21" s="14" t="str">
        <f aca="false">IF(E21="","",E21+F21)</f>
        <v/>
      </c>
      <c r="H21" s="17"/>
      <c r="I21" s="13" t="str">
        <f aca="false">IF(H21="","",H21-E21)</f>
        <v/>
      </c>
      <c r="J21" s="16"/>
      <c r="K21" s="13" t="str">
        <f aca="true">IF(E21="","",IF(H21="",IF(TODAY()&gt;G21,"نعم — تجاوز المهلة","لا"),IF(H21&gt;G21,"نعم","لا")))</f>
        <v/>
      </c>
      <c r="L21" s="16"/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6"/>
      <c r="G22" s="19" t="str">
        <f aca="false">IF(E22="","",E22+F22)</f>
        <v/>
      </c>
      <c r="H22" s="17"/>
      <c r="I22" s="20" t="str">
        <f aca="false">IF(H22="","",H22-E22)</f>
        <v/>
      </c>
      <c r="J22" s="16"/>
      <c r="K22" s="20" t="str">
        <f aca="true">IF(E22="","",IF(H22="",IF(TODAY()&gt;G22,"نعم — تجاوز المهلة","لا"),IF(H22&gt;G22,"نعم","لا")))</f>
        <v/>
      </c>
      <c r="L22" s="16"/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6"/>
      <c r="G23" s="14" t="str">
        <f aca="false">IF(E23="","",E23+F23)</f>
        <v/>
      </c>
      <c r="H23" s="17"/>
      <c r="I23" s="13" t="str">
        <f aca="false">IF(H23="","",H23-E23)</f>
        <v/>
      </c>
      <c r="J23" s="16"/>
      <c r="K23" s="13" t="str">
        <f aca="true">IF(E23="","",IF(H23="",IF(TODAY()&gt;G23,"نعم — تجاوز المهلة","لا"),IF(H23&gt;G23,"نعم","لا")))</f>
        <v/>
      </c>
      <c r="L23" s="16"/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6"/>
      <c r="G24" s="19" t="str">
        <f aca="false">IF(E24="","",E24+F24)</f>
        <v/>
      </c>
      <c r="H24" s="17"/>
      <c r="I24" s="20" t="str">
        <f aca="false">IF(H24="","",H24-E24)</f>
        <v/>
      </c>
      <c r="J24" s="16"/>
      <c r="K24" s="20" t="str">
        <f aca="true">IF(E24="","",IF(H24="",IF(TODAY()&gt;G24,"نعم — تجاوز المهلة","لا"),IF(H24&gt;G24,"نعم","لا")))</f>
        <v/>
      </c>
      <c r="L24" s="16"/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6"/>
      <c r="G25" s="14" t="str">
        <f aca="false">IF(E25="","",E25+F25)</f>
        <v/>
      </c>
      <c r="H25" s="17"/>
      <c r="I25" s="13" t="str">
        <f aca="false">IF(H25="","",H25-E25)</f>
        <v/>
      </c>
      <c r="J25" s="16"/>
      <c r="K25" s="13" t="str">
        <f aca="true">IF(E25="","",IF(H25="",IF(TODAY()&gt;G25,"نعم — تجاوز المهلة","لا"),IF(H25&gt;G25,"نعم","لا")))</f>
        <v/>
      </c>
      <c r="L25" s="16"/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6"/>
      <c r="G26" s="19" t="str">
        <f aca="false">IF(E26="","",E26+F26)</f>
        <v/>
      </c>
      <c r="H26" s="17"/>
      <c r="I26" s="20" t="str">
        <f aca="false">IF(H26="","",H26-E26)</f>
        <v/>
      </c>
      <c r="J26" s="16"/>
      <c r="K26" s="20" t="str">
        <f aca="true">IF(E26="","",IF(H26="",IF(TODAY()&gt;G26,"نعم — تجاوز المهلة","لا"),IF(H26&gt;G26,"نعم","لا")))</f>
        <v/>
      </c>
      <c r="L26" s="16"/>
    </row>
  </sheetData>
  <mergeCells count="3">
    <mergeCell ref="A1:L1"/>
    <mergeCell ref="A2:L2"/>
    <mergeCell ref="A3:L3"/>
  </mergeCells>
  <dataValidations count="2">
    <dataValidation allowBlank="true" errorStyle="stop" operator="between" showDropDown="false" showErrorMessage="false" showInputMessage="false" sqref="J6:J27" type="list">
      <formula1>"قيد المراجعة,معتمد,معتمد مع ملاحظات,مرفوض — يُعاد تقديمه"</formula1>
      <formula2>0</formula2>
    </dataValidation>
    <dataValidation allowBlank="true" errorStyle="stop" operator="between" showDropDown="false" showErrorMessage="false" showInputMessage="false" sqref="C6:C27" type="list">
      <formula1>"معماري,إنشائي,كهروميكانيكي,عام"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9" t="s">
        <v>55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9.5" hidden="false" customHeight="true" outlineLevel="0" collapsed="false">
      <c r="A2" s="10" t="s">
        <v>56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15.75" hidden="false" customHeight="true" outlineLevel="0" collapsed="false">
      <c r="A3" s="11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customFormat="false" ht="33.75" hidden="false" customHeight="true" outlineLevel="0" collapsed="false">
      <c r="A5" s="12" t="s">
        <v>57</v>
      </c>
      <c r="B5" s="12" t="s">
        <v>58</v>
      </c>
      <c r="C5" s="12" t="s">
        <v>59</v>
      </c>
      <c r="D5" s="12" t="s">
        <v>60</v>
      </c>
      <c r="E5" s="12" t="s">
        <v>61</v>
      </c>
      <c r="F5" s="12" t="s">
        <v>62</v>
      </c>
      <c r="G5" s="12" t="s">
        <v>63</v>
      </c>
      <c r="H5" s="12" t="s">
        <v>64</v>
      </c>
      <c r="I5" s="12" t="s">
        <v>29</v>
      </c>
      <c r="J5" s="12" t="s">
        <v>65</v>
      </c>
      <c r="K5" s="12" t="s">
        <v>31</v>
      </c>
    </row>
    <row r="6" customFormat="false" ht="25.35" hidden="false" customHeight="false" outlineLevel="0" collapsed="false">
      <c r="A6" s="13" t="n">
        <v>1</v>
      </c>
      <c r="B6" s="13" t="s">
        <v>66</v>
      </c>
      <c r="C6" s="13" t="s">
        <v>67</v>
      </c>
      <c r="D6" s="13" t="s">
        <v>68</v>
      </c>
      <c r="E6" s="15" t="n">
        <v>18000000</v>
      </c>
      <c r="F6" s="14" t="n">
        <v>46037</v>
      </c>
      <c r="G6" s="14" t="n">
        <v>46949</v>
      </c>
      <c r="H6" s="13" t="n">
        <f aca="true">G6-TODAY()</f>
        <v>694</v>
      </c>
      <c r="I6" s="13" t="str">
        <f aca="false">IF(H6&lt;0,"منتهي",IF(H6&lt;=60,"قارب على الانتهاء","ساري"))</f>
        <v>ساري</v>
      </c>
      <c r="J6" s="14" t="n">
        <f aca="false">G6-60</f>
        <v>46889</v>
      </c>
      <c r="K6" s="13" t="s">
        <v>69</v>
      </c>
    </row>
    <row r="7" customFormat="false" ht="25.35" hidden="false" customHeight="false" outlineLevel="0" collapsed="false">
      <c r="A7" s="13" t="n">
        <v>2</v>
      </c>
      <c r="B7" s="13" t="s">
        <v>70</v>
      </c>
      <c r="C7" s="13" t="s">
        <v>67</v>
      </c>
      <c r="D7" s="13" t="s">
        <v>71</v>
      </c>
      <c r="E7" s="15" t="n">
        <v>18000000</v>
      </c>
      <c r="F7" s="14" t="n">
        <v>46037</v>
      </c>
      <c r="G7" s="14" t="n">
        <v>46583</v>
      </c>
      <c r="H7" s="13" t="n">
        <f aca="true">G7-TODAY()</f>
        <v>328</v>
      </c>
      <c r="I7" s="13" t="str">
        <f aca="false">IF(H7&lt;0,"منتهي",IF(H7&lt;=60,"قارب على الانتهاء","ساري"))</f>
        <v>ساري</v>
      </c>
      <c r="J7" s="14" t="n">
        <f aca="false">G7-60</f>
        <v>46523</v>
      </c>
      <c r="K7" s="13" t="s">
        <v>72</v>
      </c>
    </row>
    <row r="8" customFormat="false" ht="25.35" hidden="false" customHeight="false" outlineLevel="0" collapsed="false">
      <c r="A8" s="13" t="n">
        <v>3</v>
      </c>
      <c r="B8" s="13" t="s">
        <v>73</v>
      </c>
      <c r="C8" s="13" t="s">
        <v>74</v>
      </c>
      <c r="D8" s="13" t="s">
        <v>75</v>
      </c>
      <c r="E8" s="15"/>
      <c r="F8" s="14" t="n">
        <v>46037</v>
      </c>
      <c r="G8" s="14" t="n">
        <v>46949</v>
      </c>
      <c r="H8" s="13" t="n">
        <f aca="true">G8-TODAY()</f>
        <v>694</v>
      </c>
      <c r="I8" s="13" t="str">
        <f aca="false">IF(H8&lt;0,"منتهي",IF(H8&lt;=60,"قارب على الانتهاء","ساري"))</f>
        <v>ساري</v>
      </c>
      <c r="J8" s="14" t="n">
        <f aca="false">G8-60</f>
        <v>46889</v>
      </c>
      <c r="K8" s="13" t="s">
        <v>76</v>
      </c>
    </row>
    <row r="9" customFormat="false" ht="15" hidden="false" customHeight="false" outlineLevel="0" collapsed="false">
      <c r="A9" s="16"/>
      <c r="B9" s="16"/>
      <c r="C9" s="16"/>
      <c r="D9" s="16"/>
      <c r="E9" s="18"/>
      <c r="F9" s="17"/>
      <c r="G9" s="17"/>
      <c r="H9" s="13" t="str">
        <f aca="true">IF(G9="","",G9-TODAY())</f>
        <v/>
      </c>
      <c r="I9" s="13" t="str">
        <f aca="false">IF(G9="","",IF(H9&lt;0,"منتهي",IF(H9&lt;=60,"قارب على الانتهاء","ساري")))</f>
        <v/>
      </c>
      <c r="J9" s="14" t="str">
        <f aca="false">IF(G9="","",G9-60)</f>
        <v/>
      </c>
      <c r="K9" s="16"/>
    </row>
    <row r="10" customFormat="false" ht="15" hidden="false" customHeight="false" outlineLevel="0" collapsed="false">
      <c r="A10" s="16"/>
      <c r="B10" s="16"/>
      <c r="C10" s="16"/>
      <c r="D10" s="16"/>
      <c r="E10" s="18"/>
      <c r="F10" s="17"/>
      <c r="G10" s="17"/>
      <c r="H10" s="20" t="str">
        <f aca="true">IF(G10="","",G10-TODAY())</f>
        <v/>
      </c>
      <c r="I10" s="20" t="str">
        <f aca="false">IF(G10="","",IF(H10&lt;0,"منتهي",IF(H10&lt;=60,"قارب على الانتهاء","ساري")))</f>
        <v/>
      </c>
      <c r="J10" s="19" t="str">
        <f aca="false">IF(G10="","",G10-60)</f>
        <v/>
      </c>
      <c r="K10" s="16"/>
    </row>
    <row r="11" customFormat="false" ht="15" hidden="false" customHeight="false" outlineLevel="0" collapsed="false">
      <c r="A11" s="16"/>
      <c r="B11" s="16"/>
      <c r="C11" s="16"/>
      <c r="D11" s="16"/>
      <c r="E11" s="18"/>
      <c r="F11" s="17"/>
      <c r="G11" s="17"/>
      <c r="H11" s="13" t="str">
        <f aca="true">IF(G11="","",G11-TODAY())</f>
        <v/>
      </c>
      <c r="I11" s="13" t="str">
        <f aca="false">IF(G11="","",IF(H11&lt;0,"منتهي",IF(H11&lt;=60,"قارب على الانتهاء","ساري")))</f>
        <v/>
      </c>
      <c r="J11" s="14" t="str">
        <f aca="false">IF(G11="","",G11-60)</f>
        <v/>
      </c>
      <c r="K11" s="16"/>
    </row>
    <row r="12" customFormat="false" ht="15" hidden="false" customHeight="false" outlineLevel="0" collapsed="false">
      <c r="A12" s="16"/>
      <c r="B12" s="16"/>
      <c r="C12" s="16"/>
      <c r="D12" s="16"/>
      <c r="E12" s="18"/>
      <c r="F12" s="17"/>
      <c r="G12" s="17"/>
      <c r="H12" s="20" t="str">
        <f aca="true">IF(G12="","",G12-TODAY())</f>
        <v/>
      </c>
      <c r="I12" s="20" t="str">
        <f aca="false">IF(G12="","",IF(H12&lt;0,"منتهي",IF(H12&lt;=60,"قارب على الانتهاء","ساري")))</f>
        <v/>
      </c>
      <c r="J12" s="19" t="str">
        <f aca="false">IF(G12="","",G12-60)</f>
        <v/>
      </c>
      <c r="K12" s="16"/>
    </row>
    <row r="13" customFormat="false" ht="15" hidden="false" customHeight="false" outlineLevel="0" collapsed="false">
      <c r="A13" s="16"/>
      <c r="B13" s="16"/>
      <c r="C13" s="16"/>
      <c r="D13" s="16"/>
      <c r="E13" s="18"/>
      <c r="F13" s="17"/>
      <c r="G13" s="17"/>
      <c r="H13" s="13" t="str">
        <f aca="true">IF(G13="","",G13-TODAY())</f>
        <v/>
      </c>
      <c r="I13" s="13" t="str">
        <f aca="false">IF(G13="","",IF(H13&lt;0,"منتهي",IF(H13&lt;=60,"قارب على الانتهاء","ساري")))</f>
        <v/>
      </c>
      <c r="J13" s="14" t="str">
        <f aca="false">IF(G13="","",G13-60)</f>
        <v/>
      </c>
      <c r="K13" s="16"/>
    </row>
    <row r="14" customFormat="false" ht="15" hidden="false" customHeight="false" outlineLevel="0" collapsed="false">
      <c r="A14" s="16"/>
      <c r="B14" s="16"/>
      <c r="C14" s="16"/>
      <c r="D14" s="16"/>
      <c r="E14" s="18"/>
      <c r="F14" s="17"/>
      <c r="G14" s="17"/>
      <c r="H14" s="20" t="str">
        <f aca="true">IF(G14="","",G14-TODAY())</f>
        <v/>
      </c>
      <c r="I14" s="20" t="str">
        <f aca="false">IF(G14="","",IF(H14&lt;0,"منتهي",IF(H14&lt;=60,"قارب على الانتهاء","ساري")))</f>
        <v/>
      </c>
      <c r="J14" s="19" t="str">
        <f aca="false">IF(G14="","",G14-60)</f>
        <v/>
      </c>
      <c r="K14" s="16"/>
    </row>
    <row r="15" customFormat="false" ht="15" hidden="false" customHeight="false" outlineLevel="0" collapsed="false">
      <c r="A15" s="16"/>
      <c r="B15" s="16"/>
      <c r="C15" s="16"/>
      <c r="D15" s="16"/>
      <c r="E15" s="18"/>
      <c r="F15" s="17"/>
      <c r="G15" s="17"/>
      <c r="H15" s="13" t="str">
        <f aca="true">IF(G15="","",G15-TODAY())</f>
        <v/>
      </c>
      <c r="I15" s="13" t="str">
        <f aca="false">IF(G15="","",IF(H15&lt;0,"منتهي",IF(H15&lt;=60,"قارب على الانتهاء","ساري")))</f>
        <v/>
      </c>
      <c r="J15" s="14" t="str">
        <f aca="false">IF(G15="","",G15-60)</f>
        <v/>
      </c>
      <c r="K15" s="16"/>
    </row>
    <row r="16" customFormat="false" ht="15" hidden="false" customHeight="false" outlineLevel="0" collapsed="false">
      <c r="A16" s="16"/>
      <c r="B16" s="16"/>
      <c r="C16" s="16"/>
      <c r="D16" s="16"/>
      <c r="E16" s="18"/>
      <c r="F16" s="17"/>
      <c r="G16" s="17"/>
      <c r="H16" s="20" t="str">
        <f aca="true">IF(G16="","",G16-TODAY())</f>
        <v/>
      </c>
      <c r="I16" s="20" t="str">
        <f aca="false">IF(G16="","",IF(H16&lt;0,"منتهي",IF(H16&lt;=60,"قارب على الانتهاء","ساري")))</f>
        <v/>
      </c>
      <c r="J16" s="19" t="str">
        <f aca="false">IF(G16="","",G16-60)</f>
        <v/>
      </c>
      <c r="K16" s="16"/>
    </row>
    <row r="17" customFormat="false" ht="15" hidden="false" customHeight="false" outlineLevel="0" collapsed="false">
      <c r="A17" s="16"/>
      <c r="B17" s="16"/>
      <c r="C17" s="16"/>
      <c r="D17" s="16"/>
      <c r="E17" s="18"/>
      <c r="F17" s="17"/>
      <c r="G17" s="17"/>
      <c r="H17" s="13" t="str">
        <f aca="true">IF(G17="","",G17-TODAY())</f>
        <v/>
      </c>
      <c r="I17" s="13" t="str">
        <f aca="false">IF(G17="","",IF(H17&lt;0,"منتهي",IF(H17&lt;=60,"قارب على الانتهاء","ساري")))</f>
        <v/>
      </c>
      <c r="J17" s="14" t="str">
        <f aca="false">IF(G17="","",G17-60)</f>
        <v/>
      </c>
      <c r="K17" s="16"/>
    </row>
    <row r="18" customFormat="false" ht="15" hidden="false" customHeight="false" outlineLevel="0" collapsed="false">
      <c r="A18" s="16"/>
      <c r="B18" s="16"/>
      <c r="C18" s="16"/>
      <c r="D18" s="16"/>
      <c r="E18" s="18"/>
      <c r="F18" s="17"/>
      <c r="G18" s="17"/>
      <c r="H18" s="20" t="str">
        <f aca="true">IF(G18="","",G18-TODAY())</f>
        <v/>
      </c>
      <c r="I18" s="20" t="str">
        <f aca="false">IF(G18="","",IF(H18&lt;0,"منتهي",IF(H18&lt;=60,"قارب على الانتهاء","ساري")))</f>
        <v/>
      </c>
      <c r="J18" s="19" t="str">
        <f aca="false">IF(G18="","",G18-60)</f>
        <v/>
      </c>
      <c r="K18" s="16"/>
    </row>
    <row r="19" customFormat="false" ht="15" hidden="false" customHeight="false" outlineLevel="0" collapsed="false">
      <c r="A19" s="16"/>
      <c r="B19" s="16"/>
      <c r="C19" s="16"/>
      <c r="D19" s="16"/>
      <c r="E19" s="18"/>
      <c r="F19" s="17"/>
      <c r="G19" s="17"/>
      <c r="H19" s="13" t="str">
        <f aca="true">IF(G19="","",G19-TODAY())</f>
        <v/>
      </c>
      <c r="I19" s="13" t="str">
        <f aca="false">IF(G19="","",IF(H19&lt;0,"منتهي",IF(H19&lt;=60,"قارب على الانتهاء","ساري")))</f>
        <v/>
      </c>
      <c r="J19" s="14" t="str">
        <f aca="false">IF(G19="","",G19-60)</f>
        <v/>
      </c>
      <c r="K19" s="16"/>
    </row>
    <row r="20" customFormat="false" ht="15" hidden="false" customHeight="false" outlineLevel="0" collapsed="false">
      <c r="A20" s="16"/>
      <c r="B20" s="16"/>
      <c r="C20" s="16"/>
      <c r="D20" s="16"/>
      <c r="E20" s="18"/>
      <c r="F20" s="17"/>
      <c r="G20" s="17"/>
      <c r="H20" s="20" t="str">
        <f aca="true">IF(G20="","",G20-TODAY())</f>
        <v/>
      </c>
      <c r="I20" s="20" t="str">
        <f aca="false">IF(G20="","",IF(H20&lt;0,"منتهي",IF(H20&lt;=60,"قارب على الانتهاء","ساري")))</f>
        <v/>
      </c>
      <c r="J20" s="19" t="str">
        <f aca="false">IF(G20="","",G20-60)</f>
        <v/>
      </c>
      <c r="K20" s="16"/>
    </row>
    <row r="21" customFormat="false" ht="15" hidden="false" customHeight="false" outlineLevel="0" collapsed="false">
      <c r="A21" s="16"/>
      <c r="B21" s="16"/>
      <c r="C21" s="16"/>
      <c r="D21" s="16"/>
      <c r="E21" s="18"/>
      <c r="F21" s="17"/>
      <c r="G21" s="17"/>
      <c r="H21" s="13" t="str">
        <f aca="true">IF(G21="","",G21-TODAY())</f>
        <v/>
      </c>
      <c r="I21" s="13" t="str">
        <f aca="false">IF(G21="","",IF(H21&lt;0,"منتهي",IF(H21&lt;=60,"قارب على الانتهاء","ساري")))</f>
        <v/>
      </c>
      <c r="J21" s="14" t="str">
        <f aca="false">IF(G21="","",G21-60)</f>
        <v/>
      </c>
      <c r="K21" s="16"/>
    </row>
    <row r="22" customFormat="false" ht="15" hidden="false" customHeight="false" outlineLevel="0" collapsed="false">
      <c r="A22" s="16"/>
      <c r="B22" s="16"/>
      <c r="C22" s="16"/>
      <c r="D22" s="16"/>
      <c r="E22" s="18"/>
      <c r="F22" s="17"/>
      <c r="G22" s="17"/>
      <c r="H22" s="20" t="str">
        <f aca="true">IF(G22="","",G22-TODAY())</f>
        <v/>
      </c>
      <c r="I22" s="20" t="str">
        <f aca="false">IF(G22="","",IF(H22&lt;0,"منتهي",IF(H22&lt;=60,"قارب على الانتهاء","ساري")))</f>
        <v/>
      </c>
      <c r="J22" s="19" t="str">
        <f aca="false">IF(G22="","",G22-60)</f>
        <v/>
      </c>
      <c r="K22" s="16"/>
    </row>
    <row r="23" customFormat="false" ht="15" hidden="false" customHeight="false" outlineLevel="0" collapsed="false">
      <c r="A23" s="16"/>
      <c r="B23" s="16"/>
      <c r="C23" s="16"/>
      <c r="D23" s="16"/>
      <c r="E23" s="18"/>
      <c r="F23" s="17"/>
      <c r="G23" s="17"/>
      <c r="H23" s="13" t="str">
        <f aca="true">IF(G23="","",G23-TODAY())</f>
        <v/>
      </c>
      <c r="I23" s="13" t="str">
        <f aca="false">IF(G23="","",IF(H23&lt;0,"منتهي",IF(H23&lt;=60,"قارب على الانتهاء","ساري")))</f>
        <v/>
      </c>
      <c r="J23" s="14" t="str">
        <f aca="false">IF(G23="","",G23-60)</f>
        <v/>
      </c>
      <c r="K23" s="16"/>
    </row>
    <row r="24" customFormat="false" ht="15" hidden="false" customHeight="false" outlineLevel="0" collapsed="false">
      <c r="A24" s="16"/>
      <c r="B24" s="16"/>
      <c r="C24" s="16"/>
      <c r="D24" s="16"/>
      <c r="E24" s="18"/>
      <c r="F24" s="17"/>
      <c r="G24" s="17"/>
      <c r="H24" s="20" t="str">
        <f aca="true">IF(G24="","",G24-TODAY())</f>
        <v/>
      </c>
      <c r="I24" s="20" t="str">
        <f aca="false">IF(G24="","",IF(H24&lt;0,"منتهي",IF(H24&lt;=60,"قارب على الانتهاء","ساري")))</f>
        <v/>
      </c>
      <c r="J24" s="19" t="str">
        <f aca="false">IF(G24="","",G24-60)</f>
        <v/>
      </c>
      <c r="K24" s="16"/>
    </row>
    <row r="25" customFormat="false" ht="15" hidden="false" customHeight="false" outlineLevel="0" collapsed="false">
      <c r="A25" s="16"/>
      <c r="B25" s="16"/>
      <c r="C25" s="16"/>
      <c r="D25" s="16"/>
      <c r="E25" s="18"/>
      <c r="F25" s="17"/>
      <c r="G25" s="17"/>
      <c r="H25" s="13" t="str">
        <f aca="true">IF(G25="","",G25-TODAY())</f>
        <v/>
      </c>
      <c r="I25" s="13" t="str">
        <f aca="false">IF(G25="","",IF(H25&lt;0,"منتهي",IF(H25&lt;=60,"قارب على الانتهاء","ساري")))</f>
        <v/>
      </c>
      <c r="J25" s="14" t="str">
        <f aca="false">IF(G25="","",G25-60)</f>
        <v/>
      </c>
      <c r="K25" s="16"/>
    </row>
    <row r="26" customFormat="false" ht="15" hidden="false" customHeight="false" outlineLevel="0" collapsed="false">
      <c r="A26" s="16"/>
      <c r="B26" s="16"/>
      <c r="C26" s="16"/>
      <c r="D26" s="16"/>
      <c r="E26" s="18"/>
      <c r="F26" s="17"/>
      <c r="G26" s="17"/>
      <c r="H26" s="20" t="str">
        <f aca="true">IF(G26="","",G26-TODAY())</f>
        <v/>
      </c>
      <c r="I26" s="20" t="str">
        <f aca="false">IF(G26="","",IF(H26&lt;0,"منتهي",IF(H26&lt;=60,"قارب على الانتهاء","ساري")))</f>
        <v/>
      </c>
      <c r="J26" s="19" t="str">
        <f aca="false">IF(G26="","",G26-60)</f>
        <v/>
      </c>
      <c r="K26" s="16"/>
    </row>
    <row r="27" customFormat="false" ht="15" hidden="false" customHeight="false" outlineLevel="0" collapsed="false">
      <c r="A27" s="16"/>
      <c r="B27" s="16"/>
      <c r="C27" s="16"/>
      <c r="D27" s="16"/>
      <c r="E27" s="18"/>
      <c r="F27" s="17"/>
      <c r="G27" s="17"/>
      <c r="H27" s="13" t="str">
        <f aca="true">IF(G27="","",G27-TODAY())</f>
        <v/>
      </c>
      <c r="I27" s="13" t="str">
        <f aca="false">IF(G27="","",IF(H27&lt;0,"منتهي",IF(H27&lt;=60,"قارب على الانتهاء","ساري")))</f>
        <v/>
      </c>
      <c r="J27" s="14" t="str">
        <f aca="false">IF(G27="","",G27-60)</f>
        <v/>
      </c>
      <c r="K27" s="16"/>
    </row>
  </sheetData>
  <mergeCells count="3">
    <mergeCell ref="A1:K1"/>
    <mergeCell ref="A2:K2"/>
    <mergeCell ref="A3:K3"/>
  </mergeCells>
  <dataValidations count="1">
    <dataValidation allowBlank="true" errorStyle="stop" operator="between" showDropDown="false" showErrorMessage="false" showInputMessage="false" sqref="B6:B27" type="list">
      <formula1>"ضمان حسن التنفيذ,ضمان الدفعة المقدمة,ضمان الاستقطاع,ضمان دخول المناقصة,تأمين شامل CAR,تأمين مسؤولية الطرف الثالث,تأمين مهني"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2026-08-21T23:14:52Z</dcterms:created>
  <dc:creator>openpyxl</dc:creator>
  <dc:description/>
  <dc:language>en-US</dc:language>
  <cp:lastModifiedBy/>
  <dcterms:modified xsi:type="dcterms:W3CDTF">2026-08-21T23:14:52Z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